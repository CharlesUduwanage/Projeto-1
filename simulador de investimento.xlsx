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de\Desktop\curso de introdução à ciência de dados\"/>
    </mc:Choice>
  </mc:AlternateContent>
  <xr:revisionPtr revIDLastSave="0" documentId="13_ncr:1_{5D7D6693-C9C0-438F-B852-4452E59C139A}" xr6:coauthVersionLast="36" xr6:coauthVersionMax="36" xr10:uidLastSave="{00000000-0000-0000-0000-000000000000}"/>
  <bookViews>
    <workbookView xWindow="0" yWindow="0" windowWidth="23040" windowHeight="8940" xr2:uid="{0D072248-9E69-4AB8-95A1-3BD1F1CE8639}"/>
  </bookViews>
  <sheets>
    <sheet name="Simulador_invest" sheetId="1" r:id="rId1"/>
    <sheet name="Tabela de apoio" sheetId="2" r:id="rId2"/>
  </sheets>
  <definedNames>
    <definedName name="Aporte">Simulador_invest!$D$19</definedName>
    <definedName name="Patrimônio">Simulador_invest!$D$22</definedName>
    <definedName name="Qtd_Anos">Simulador_invest!$D$20</definedName>
    <definedName name="Rendimento_carteira">Simulador_invest!$E$14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  <c r="E41" i="1" l="1"/>
  <c r="D43" i="1"/>
  <c r="D44" i="1"/>
  <c r="D45" i="1"/>
  <c r="D46" i="1"/>
  <c r="D47" i="1"/>
  <c r="E46" i="1" l="1"/>
  <c r="D16" i="2"/>
  <c r="D17" i="2"/>
  <c r="D18" i="2"/>
  <c r="D19" i="2"/>
  <c r="D20" i="2"/>
  <c r="D21" i="2"/>
  <c r="D23" i="2"/>
  <c r="D24" i="2"/>
  <c r="D25" i="2"/>
  <c r="D26" i="2"/>
  <c r="D27" i="2"/>
  <c r="D28" i="2"/>
  <c r="D10" i="2"/>
  <c r="D11" i="2"/>
  <c r="E45" i="1" s="1"/>
  <c r="D12" i="2"/>
  <c r="D13" i="2"/>
  <c r="E47" i="1" s="1"/>
  <c r="D14" i="2"/>
  <c r="D9" i="2"/>
  <c r="E37" i="1"/>
  <c r="D22" i="1"/>
  <c r="D23" i="1" s="1"/>
  <c r="D42" i="1" l="1"/>
  <c r="E42" i="1" s="1"/>
  <c r="E44" i="1"/>
  <c r="E43" i="1"/>
  <c r="E15" i="1"/>
  <c r="D29" i="1"/>
  <c r="E29" i="1" s="1"/>
  <c r="D30" i="1"/>
  <c r="E30" i="1" s="1"/>
  <c r="D31" i="1"/>
  <c r="E31" i="1" s="1"/>
  <c r="D32" i="1"/>
  <c r="E32" i="1" s="1"/>
  <c r="D33" i="1"/>
  <c r="E33" i="1" s="1"/>
  <c r="D28" i="1"/>
  <c r="E28" i="1" s="1"/>
  <c r="E48" i="1" l="1"/>
</calcChain>
</file>

<file path=xl/sharedStrings.xml><?xml version="1.0" encoding="utf-8"?>
<sst xmlns="http://schemas.openxmlformats.org/spreadsheetml/2006/main" count="70" uniqueCount="35">
  <si>
    <t>Quanto investir por mês?</t>
  </si>
  <si>
    <t>Por quantos anos?</t>
  </si>
  <si>
    <t>Taxa de rendimento mensal?</t>
  </si>
  <si>
    <t>Patrimônio acumulado?</t>
  </si>
  <si>
    <t>Investimento Mensal</t>
  </si>
  <si>
    <t>Dividendos mensais?</t>
  </si>
  <si>
    <t>Cenários</t>
  </si>
  <si>
    <t>Quanto eu terei em 2 anos?</t>
  </si>
  <si>
    <t>Quanto eu terei em 5 anos?</t>
  </si>
  <si>
    <t>Quanto eu terei em 10 anos?</t>
  </si>
  <si>
    <t>Quanto eu terei em 20 anos?</t>
  </si>
  <si>
    <t>Quanto eu terei em 30 anos?</t>
  </si>
  <si>
    <t>Quanto eu terei em 40 anos?</t>
  </si>
  <si>
    <t>Configurações</t>
  </si>
  <si>
    <t>Salário</t>
  </si>
  <si>
    <t>Rendimento Carteira</t>
  </si>
  <si>
    <t>Dividendos</t>
  </si>
  <si>
    <t>Peril de Investidor</t>
  </si>
  <si>
    <t>Agressivo</t>
  </si>
  <si>
    <t>Moderado</t>
  </si>
  <si>
    <t>Conservador</t>
  </si>
  <si>
    <t>VALOR A SER INVESTIDO POR MÊS</t>
  </si>
  <si>
    <t>Tipo de FII</t>
  </si>
  <si>
    <t>PAPEL</t>
  </si>
  <si>
    <t>TIJOLO</t>
  </si>
  <si>
    <t>HIBRIDOS</t>
  </si>
  <si>
    <t>FOFs</t>
  </si>
  <si>
    <t>DESENVOLVIMENTO</t>
  </si>
  <si>
    <t>HOTELARIA</t>
  </si>
  <si>
    <t>TOTAL GERAL</t>
  </si>
  <si>
    <t>PERFIL</t>
  </si>
  <si>
    <t>%</t>
  </si>
  <si>
    <t>CHAVE</t>
  </si>
  <si>
    <t>% Sugerido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</si>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</sst>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0%"/>
    <numFmt numFmtId="165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theme="0"/>
      <name val="Arial Black"/>
      <family val="2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1"/>
      </left>
      <right style="medium">
        <color theme="0" tint="-0.24994659260841701"/>
      </right>
      <top style="medium">
        <color theme="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1"/>
      </right>
      <top style="medium">
        <color theme="1"/>
      </top>
      <bottom style="medium">
        <color theme="0" tint="-0.2499465926084170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3" xfId="0" applyBorder="1"/>
    <xf numFmtId="0" fontId="0" fillId="0" borderId="0" xfId="0" applyBorder="1"/>
    <xf numFmtId="164" fontId="0" fillId="0" borderId="4" xfId="0" applyNumberFormat="1" applyBorder="1"/>
    <xf numFmtId="165" fontId="0" fillId="0" borderId="4" xfId="1" applyNumberFormat="1" applyFont="1" applyBorder="1"/>
    <xf numFmtId="0" fontId="0" fillId="3" borderId="5" xfId="0" applyFill="1" applyBorder="1"/>
    <xf numFmtId="0" fontId="0" fillId="3" borderId="8" xfId="0" applyFill="1" applyBorder="1"/>
    <xf numFmtId="165" fontId="0" fillId="3" borderId="6" xfId="1" applyNumberFormat="1" applyFont="1" applyFill="1" applyBorder="1"/>
    <xf numFmtId="0" fontId="0" fillId="0" borderId="12" xfId="0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left"/>
    </xf>
    <xf numFmtId="0" fontId="4" fillId="2" borderId="20" xfId="0" applyFont="1" applyFill="1" applyBorder="1"/>
    <xf numFmtId="0" fontId="0" fillId="0" borderId="21" xfId="0" applyBorder="1"/>
    <xf numFmtId="8" fontId="0" fillId="0" borderId="22" xfId="0" applyNumberFormat="1" applyBorder="1"/>
    <xf numFmtId="8" fontId="0" fillId="3" borderId="23" xfId="0" applyNumberFormat="1" applyFill="1" applyBorder="1"/>
    <xf numFmtId="0" fontId="0" fillId="0" borderId="24" xfId="0" applyBorder="1"/>
    <xf numFmtId="8" fontId="0" fillId="0" borderId="25" xfId="0" applyNumberFormat="1" applyBorder="1"/>
    <xf numFmtId="8" fontId="0" fillId="3" borderId="26" xfId="0" applyNumberFormat="1" applyFill="1" applyBorder="1"/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9" fontId="0" fillId="0" borderId="0" xfId="0" applyNumberFormat="1" applyBorder="1"/>
    <xf numFmtId="0" fontId="2" fillId="5" borderId="5" xfId="0" applyFont="1" applyFill="1" applyBorder="1"/>
    <xf numFmtId="0" fontId="2" fillId="5" borderId="8" xfId="0" applyFont="1" applyFill="1" applyBorder="1"/>
    <xf numFmtId="165" fontId="2" fillId="5" borderId="6" xfId="0" applyNumberFormat="1" applyFont="1" applyFill="1" applyBorder="1"/>
    <xf numFmtId="0" fontId="4" fillId="2" borderId="29" xfId="0" applyFont="1" applyFill="1" applyBorder="1"/>
    <xf numFmtId="0" fontId="2" fillId="3" borderId="30" xfId="0" applyFont="1" applyFill="1" applyBorder="1"/>
    <xf numFmtId="0" fontId="2" fillId="3" borderId="31" xfId="0" applyFont="1" applyFill="1" applyBorder="1"/>
    <xf numFmtId="165" fontId="2" fillId="3" borderId="32" xfId="1" applyNumberFormat="1" applyFont="1" applyFill="1" applyBorder="1"/>
    <xf numFmtId="9" fontId="6" fillId="0" borderId="36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9" fontId="6" fillId="0" borderId="37" xfId="0" applyNumberFormat="1" applyFont="1" applyFill="1" applyBorder="1" applyAlignment="1">
      <alignment horizontal="center" vertical="center"/>
    </xf>
    <xf numFmtId="9" fontId="6" fillId="0" borderId="30" xfId="0" applyNumberFormat="1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 vertical="center"/>
    </xf>
    <xf numFmtId="9" fontId="6" fillId="0" borderId="32" xfId="0" applyNumberFormat="1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0" fontId="7" fillId="6" borderId="39" xfId="0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9" fontId="6" fillId="7" borderId="36" xfId="0" applyNumberFormat="1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6" fillId="7" borderId="37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4" fillId="2" borderId="27" xfId="0" applyFont="1" applyFill="1" applyBorder="1" applyAlignment="1">
      <alignment horizontal="left" vertical="center"/>
    </xf>
    <xf numFmtId="0" fontId="4" fillId="2" borderId="28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165" fontId="0" fillId="0" borderId="13" xfId="1" applyNumberFormat="1" applyFont="1" applyBorder="1" applyAlignment="1">
      <alignment horizontal="center" vertical="center"/>
    </xf>
    <xf numFmtId="165" fontId="0" fillId="0" borderId="14" xfId="1" applyNumberFormat="1" applyFon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8" fontId="2" fillId="3" borderId="13" xfId="1" applyNumberFormat="1" applyFont="1" applyFill="1" applyBorder="1" applyAlignment="1">
      <alignment horizontal="center" vertical="center"/>
    </xf>
    <xf numFmtId="8" fontId="2" fillId="3" borderId="14" xfId="1" applyNumberFormat="1" applyFont="1" applyFill="1" applyBorder="1" applyAlignment="1">
      <alignment horizontal="center" vertical="center"/>
    </xf>
    <xf numFmtId="8" fontId="2" fillId="3" borderId="16" xfId="0" applyNumberFormat="1" applyFont="1" applyFill="1" applyBorder="1" applyAlignment="1">
      <alignment horizontal="center" vertical="center"/>
    </xf>
    <xf numFmtId="8" fontId="2" fillId="3" borderId="17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Simulador_invest!$D$41</c:f>
              <c:strCache>
                <c:ptCount val="1"/>
                <c:pt idx="0">
                  <c:v>%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8AD-45E0-BECB-DF85FA5CBE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3D-4F1A-97EA-FF5261A93C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3D-4F1A-97EA-FF5261A93C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3D-4F1A-97EA-FF5261A93C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3D-4F1A-97EA-FF5261A93C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3D-4F1A-97EA-FF5261A93C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3D-4F1A-97EA-FF5261A93C0C}"/>
              </c:ext>
            </c:extLst>
          </c:dPt>
          <c:dLbls>
            <c:dLbl>
              <c:idx val="0"/>
              <c:layout>
                <c:manualLayout>
                  <c:x val="-0.15404040404040403"/>
                  <c:y val="-5.34890375545162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606060606060606"/>
                      <c:h val="0.139933166248955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8AD-45E0-BECB-DF85FA5CBE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Simulador_invest!$C$42:$C$48</c:f>
              <c:strCache>
                <c:ptCount val="7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  <c:pt idx="6">
                  <c:v>TOTAL GERAL</c:v>
                </c:pt>
              </c:strCache>
            </c:strRef>
          </c:cat>
          <c:val>
            <c:numRef>
              <c:f>Simulador_invest!$D$42:$D$48</c:f>
              <c:numCache>
                <c:formatCode>0%</c:formatCode>
                <c:ptCount val="7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D-45E0-BECB-DF85FA5CBEAB}"/>
            </c:ext>
          </c:extLst>
        </c:ser>
        <c:ser>
          <c:idx val="1"/>
          <c:order val="1"/>
          <c:tx>
            <c:strRef>
              <c:f>Simulador_invest!$E$41</c:f>
              <c:strCache>
                <c:ptCount val="1"/>
                <c:pt idx="0">
                  <c:v>Conservador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3D-4F1A-97EA-FF5261A93C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3D-4F1A-97EA-FF5261A93C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3D-4F1A-97EA-FF5261A93C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3D-4F1A-97EA-FF5261A93C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3D-4F1A-97EA-FF5261A93C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D83D-4F1A-97EA-FF5261A93C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D83D-4F1A-97EA-FF5261A93C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Simulador_invest!$C$42:$C$48</c:f>
              <c:strCache>
                <c:ptCount val="7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  <c:pt idx="6">
                  <c:v>TOTAL GERAL</c:v>
                </c:pt>
              </c:strCache>
            </c:strRef>
          </c:cat>
          <c:val>
            <c:numRef>
              <c:f>Simulador_invest!$E$42:$E$48</c:f>
              <c:numCache>
                <c:formatCode>"R$"\ #,##0.00</c:formatCode>
                <c:ptCount val="7"/>
                <c:pt idx="0">
                  <c:v>9000</c:v>
                </c:pt>
                <c:pt idx="1">
                  <c:v>15000</c:v>
                </c:pt>
                <c:pt idx="2">
                  <c:v>3000</c:v>
                </c:pt>
                <c:pt idx="3">
                  <c:v>3000</c:v>
                </c:pt>
                <c:pt idx="4">
                  <c:v>0</c:v>
                </c:pt>
                <c:pt idx="5">
                  <c:v>0</c:v>
                </c:pt>
                <c:pt idx="6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D-45E0-BECB-DF85FA5CBEA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38100</xdr:colOff>
      <xdr:row>2</xdr:row>
      <xdr:rowOff>152964</xdr:rowOff>
    </xdr:from>
    <xdr:to>
      <xdr:col>3</xdr:col>
      <xdr:colOff>1866900</xdr:colOff>
      <xdr:row>5</xdr:row>
      <xdr:rowOff>76200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1BAA19E6-6F25-4509-B2DE-FD3FAAEF6F99}"/>
            </a:ext>
          </a:extLst>
        </xdr:cNvPr>
        <xdr:cNvSpPr txBox="1"/>
      </xdr:nvSpPr>
      <xdr:spPr>
        <a:xfrm>
          <a:off x="3726180" y="518724"/>
          <a:ext cx="1828800" cy="47187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>
              <a:solidFill>
                <a:schemeClr val="tx1">
                  <a:lumMod val="85000"/>
                  <a:lumOff val="15000"/>
                </a:schemeClr>
              </a:solidFill>
              <a:latin typeface="Algerian" panose="04020705040A02060702" pitchFamily="82" charset="0"/>
            </a:rPr>
            <a:t>UDU</a:t>
          </a:r>
          <a:r>
            <a:rPr lang="pt-BR" sz="2400" b="1" baseline="0">
              <a:solidFill>
                <a:schemeClr val="tx1">
                  <a:lumMod val="85000"/>
                  <a:lumOff val="15000"/>
                </a:schemeClr>
              </a:solidFill>
              <a:latin typeface="Algerian" panose="04020705040A02060702" pitchFamily="82" charset="0"/>
            </a:rPr>
            <a:t> INVEST</a:t>
          </a:r>
          <a:endParaRPr lang="pt-BR" sz="2400" b="1">
            <a:solidFill>
              <a:schemeClr val="tx1">
                <a:lumMod val="85000"/>
                <a:lumOff val="15000"/>
              </a:schemeClr>
            </a:solidFill>
            <a:latin typeface="Algerian" panose="04020705040A02060702" pitchFamily="82" charset="0"/>
          </a:endParaRPr>
        </a:p>
      </xdr:txBody>
    </xdr:sp>
    <xdr:clientData/>
  </xdr:twoCellAnchor>
  <xdr:twoCellAnchor editAs="absolute">
    <xdr:from>
      <xdr:col>2</xdr:col>
      <xdr:colOff>312420</xdr:colOff>
      <xdr:row>1</xdr:row>
      <xdr:rowOff>173262</xdr:rowOff>
    </xdr:from>
    <xdr:to>
      <xdr:col>2</xdr:col>
      <xdr:colOff>1249680</xdr:colOff>
      <xdr:row>6</xdr:row>
      <xdr:rowOff>144779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75B5D16C-A297-4BD2-81F9-CF04DD59C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1240" y="356142"/>
          <a:ext cx="937260" cy="885917"/>
        </a:xfrm>
        <a:prstGeom prst="rect">
          <a:avLst/>
        </a:prstGeom>
      </xdr:spPr>
    </xdr:pic>
    <xdr:clientData/>
  </xdr:twoCellAnchor>
  <xdr:twoCellAnchor>
    <xdr:from>
      <xdr:col>1</xdr:col>
      <xdr:colOff>1676400</xdr:colOff>
      <xdr:row>49</xdr:row>
      <xdr:rowOff>30480</xdr:rowOff>
    </xdr:from>
    <xdr:to>
      <xdr:col>5</xdr:col>
      <xdr:colOff>22860</xdr:colOff>
      <xdr:row>65</xdr:row>
      <xdr:rowOff>144780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40EAC30-4C18-426C-827F-11C197FE8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1036320</xdr:colOff>
      <xdr:row>1</xdr:row>
      <xdr:rowOff>175260</xdr:rowOff>
    </xdr:from>
    <xdr:to>
      <xdr:col>5</xdr:col>
      <xdr:colOff>1234440</xdr:colOff>
      <xdr:row>4</xdr:row>
      <xdr:rowOff>121920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3ABABF2-941D-4EE9-ADA9-A78FD5D5B9AF}"/>
            </a:ext>
          </a:extLst>
        </xdr:cNvPr>
        <xdr:cNvSpPr txBox="1"/>
      </xdr:nvSpPr>
      <xdr:spPr>
        <a:xfrm>
          <a:off x="5143500" y="358140"/>
          <a:ext cx="4274820" cy="49530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200">
              <a:latin typeface="Algerian" panose="04020705040A02060702" pitchFamily="82" charset="0"/>
            </a:rPr>
            <a:t>TABELA DE APOIO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133E-5042-4C93-BD12-641696C9C799}">
  <dimension ref="A11:H48"/>
  <sheetViews>
    <sheetView showGridLines="0" tabSelected="1" workbookViewId="0">
      <selection activeCell="H18" sqref="H18"/>
    </sheetView>
  </sheetViews>
  <sheetFormatPr defaultColWidth="0" defaultRowHeight="14.4" x14ac:dyDescent="0.3"/>
  <cols>
    <col min="1" max="1" width="4.33203125" customWidth="1"/>
    <col min="2" max="2" width="24.6640625" bestFit="1" customWidth="1"/>
    <col min="3" max="3" width="24.77734375" bestFit="1" customWidth="1"/>
    <col min="4" max="4" width="29.21875" bestFit="1" customWidth="1"/>
    <col min="5" max="5" width="18.77734375" bestFit="1" customWidth="1"/>
    <col min="6" max="6" width="8.88671875" customWidth="1"/>
    <col min="7" max="7" width="13.77734375" customWidth="1"/>
    <col min="8" max="8" width="8.88671875" customWidth="1"/>
    <col min="9" max="16384" width="8.88671875" hidden="1"/>
  </cols>
  <sheetData>
    <row r="11" spans="3:5" ht="31.8" customHeight="1" thickBot="1" x14ac:dyDescent="0.35"/>
    <row r="12" spans="3:5" ht="21" x14ac:dyDescent="0.3">
      <c r="C12" s="48" t="s">
        <v>13</v>
      </c>
      <c r="D12" s="49"/>
      <c r="E12" s="50"/>
    </row>
    <row r="13" spans="3:5" x14ac:dyDescent="0.3">
      <c r="C13" s="3" t="s">
        <v>14</v>
      </c>
      <c r="D13" s="4"/>
      <c r="E13" s="6">
        <v>100000</v>
      </c>
    </row>
    <row r="14" spans="3:5" x14ac:dyDescent="0.3">
      <c r="C14" s="3" t="s">
        <v>15</v>
      </c>
      <c r="D14" s="4"/>
      <c r="E14" s="5">
        <v>0.01</v>
      </c>
    </row>
    <row r="15" spans="3:5" ht="15" thickBot="1" x14ac:dyDescent="0.35">
      <c r="C15" s="7" t="s">
        <v>34</v>
      </c>
      <c r="D15" s="8"/>
      <c r="E15" s="9">
        <f>E13*30%</f>
        <v>30000</v>
      </c>
    </row>
    <row r="17" spans="1:7" ht="15" thickBot="1" x14ac:dyDescent="0.35"/>
    <row r="18" spans="1:7" ht="21.6" thickBot="1" x14ac:dyDescent="0.35">
      <c r="C18" s="51" t="s">
        <v>4</v>
      </c>
      <c r="D18" s="52"/>
      <c r="E18" s="53"/>
      <c r="G18" s="1"/>
    </row>
    <row r="19" spans="1:7" ht="15" thickBot="1" x14ac:dyDescent="0.35">
      <c r="C19" s="10" t="s">
        <v>0</v>
      </c>
      <c r="D19" s="54">
        <v>30000</v>
      </c>
      <c r="E19" s="55"/>
    </row>
    <row r="20" spans="1:7" ht="15" thickBot="1" x14ac:dyDescent="0.35">
      <c r="A20" s="2">
        <v>2</v>
      </c>
      <c r="C20" s="10" t="s">
        <v>1</v>
      </c>
      <c r="D20" s="56">
        <v>10</v>
      </c>
      <c r="E20" s="57"/>
    </row>
    <row r="21" spans="1:7" ht="15" thickBot="1" x14ac:dyDescent="0.35">
      <c r="A21" s="2">
        <v>5</v>
      </c>
      <c r="C21" s="10" t="s">
        <v>2</v>
      </c>
      <c r="D21" s="58">
        <f>$E$14</f>
        <v>0.01</v>
      </c>
      <c r="E21" s="59"/>
    </row>
    <row r="22" spans="1:7" ht="15" thickBot="1" x14ac:dyDescent="0.35">
      <c r="A22" s="2">
        <v>10</v>
      </c>
      <c r="C22" s="11" t="s">
        <v>3</v>
      </c>
      <c r="D22" s="62">
        <f>FV(Rendimento_carteira,Qtd_Anos*12,-Aporte)</f>
        <v>6901160.6837210096</v>
      </c>
      <c r="E22" s="63"/>
      <c r="F22" s="4"/>
    </row>
    <row r="23" spans="1:7" ht="15" thickBot="1" x14ac:dyDescent="0.35">
      <c r="A23" s="2">
        <v>20</v>
      </c>
      <c r="C23" s="12" t="s">
        <v>5</v>
      </c>
      <c r="D23" s="64">
        <f>Patrimônio*Rendimento_carteira</f>
        <v>69011.6068372101</v>
      </c>
      <c r="E23" s="65"/>
    </row>
    <row r="24" spans="1:7" x14ac:dyDescent="0.3">
      <c r="A24" s="2">
        <v>30</v>
      </c>
    </row>
    <row r="25" spans="1:7" x14ac:dyDescent="0.3">
      <c r="A25" s="2">
        <v>40</v>
      </c>
    </row>
    <row r="26" spans="1:7" ht="15" thickBot="1" x14ac:dyDescent="0.35"/>
    <row r="27" spans="1:7" ht="21.6" thickBot="1" x14ac:dyDescent="0.55000000000000004">
      <c r="C27" s="60" t="s">
        <v>6</v>
      </c>
      <c r="D27" s="61"/>
      <c r="E27" s="13" t="s">
        <v>16</v>
      </c>
    </row>
    <row r="28" spans="1:7" ht="15" thickBot="1" x14ac:dyDescent="0.35">
      <c r="C28" s="14" t="s">
        <v>7</v>
      </c>
      <c r="D28" s="15">
        <f t="shared" ref="D28:D33" si="0">FV($D$21,A20*12,-$D$19)</f>
        <v>809203.94559574488</v>
      </c>
      <c r="E28" s="16">
        <f t="shared" ref="E28:E33" si="1">D28*$E$14</f>
        <v>8092.0394559574488</v>
      </c>
    </row>
    <row r="29" spans="1:7" ht="15" thickBot="1" x14ac:dyDescent="0.35">
      <c r="C29" s="14" t="s">
        <v>8</v>
      </c>
      <c r="D29" s="15">
        <f t="shared" si="0"/>
        <v>2450090.0956922737</v>
      </c>
      <c r="E29" s="16">
        <f t="shared" si="1"/>
        <v>24500.900956922738</v>
      </c>
    </row>
    <row r="30" spans="1:7" ht="15" thickBot="1" x14ac:dyDescent="0.35">
      <c r="C30" s="14" t="s">
        <v>9</v>
      </c>
      <c r="D30" s="15">
        <f t="shared" si="0"/>
        <v>6901160.6837210096</v>
      </c>
      <c r="E30" s="16">
        <f t="shared" si="1"/>
        <v>69011.6068372101</v>
      </c>
    </row>
    <row r="31" spans="1:7" ht="15" thickBot="1" x14ac:dyDescent="0.35">
      <c r="C31" s="14" t="s">
        <v>10</v>
      </c>
      <c r="D31" s="15">
        <f t="shared" si="0"/>
        <v>29677660.96162089</v>
      </c>
      <c r="E31" s="16">
        <f t="shared" si="1"/>
        <v>296776.60961620888</v>
      </c>
    </row>
    <row r="32" spans="1:7" ht="15" thickBot="1" x14ac:dyDescent="0.35">
      <c r="C32" s="14" t="s">
        <v>11</v>
      </c>
      <c r="D32" s="15">
        <f t="shared" si="0"/>
        <v>104848923.98305519</v>
      </c>
      <c r="E32" s="16">
        <f t="shared" si="1"/>
        <v>1048489.2398305519</v>
      </c>
    </row>
    <row r="33" spans="3:5" ht="15" thickBot="1" x14ac:dyDescent="0.35">
      <c r="C33" s="17" t="s">
        <v>12</v>
      </c>
      <c r="D33" s="18">
        <f t="shared" si="0"/>
        <v>352943175.30754733</v>
      </c>
      <c r="E33" s="19">
        <f t="shared" si="1"/>
        <v>3529431.7530754735</v>
      </c>
    </row>
    <row r="35" spans="3:5" ht="15" thickBot="1" x14ac:dyDescent="0.35"/>
    <row r="36" spans="3:5" ht="21.6" thickBot="1" x14ac:dyDescent="0.55000000000000004">
      <c r="C36" s="46" t="s">
        <v>17</v>
      </c>
      <c r="D36" s="47"/>
      <c r="E36" s="26" t="s">
        <v>20</v>
      </c>
    </row>
    <row r="37" spans="3:5" ht="15" thickBot="1" x14ac:dyDescent="0.35">
      <c r="C37" s="27" t="s">
        <v>21</v>
      </c>
      <c r="D37" s="28"/>
      <c r="E37" s="29">
        <f>Aporte</f>
        <v>30000</v>
      </c>
    </row>
    <row r="40" spans="3:5" ht="15" thickBot="1" x14ac:dyDescent="0.35"/>
    <row r="41" spans="3:5" ht="21.6" thickBot="1" x14ac:dyDescent="0.55000000000000004">
      <c r="C41" s="20" t="s">
        <v>22</v>
      </c>
      <c r="D41" s="21" t="s">
        <v>33</v>
      </c>
      <c r="E41" s="45" t="str">
        <f>E36</f>
        <v>Conservador</v>
      </c>
    </row>
    <row r="42" spans="3:5" x14ac:dyDescent="0.3">
      <c r="C42" s="3" t="s">
        <v>23</v>
      </c>
      <c r="D42" s="22">
        <f>VLOOKUP($E$36&amp;"-"&amp;C42,'Tabela de apoio'!D8:G28,4,FALSE)</f>
        <v>0.3</v>
      </c>
      <c r="E42" s="6">
        <f t="shared" ref="E42:E47" si="2">Aporte*D42</f>
        <v>9000</v>
      </c>
    </row>
    <row r="43" spans="3:5" x14ac:dyDescent="0.3">
      <c r="C43" s="3" t="s">
        <v>24</v>
      </c>
      <c r="D43" s="22">
        <f>VLOOKUP($E$36&amp;"-"&amp;C43,'Tabela de apoio'!D9:G29,4,FALSE)</f>
        <v>0.5</v>
      </c>
      <c r="E43" s="6">
        <f t="shared" si="2"/>
        <v>15000</v>
      </c>
    </row>
    <row r="44" spans="3:5" x14ac:dyDescent="0.3">
      <c r="C44" s="3" t="s">
        <v>25</v>
      </c>
      <c r="D44" s="22">
        <f>VLOOKUP($E$36&amp;"-"&amp;C44,'Tabela de apoio'!D10:G30,4,FALSE)</f>
        <v>0.1</v>
      </c>
      <c r="E44" s="6">
        <f t="shared" si="2"/>
        <v>3000</v>
      </c>
    </row>
    <row r="45" spans="3:5" x14ac:dyDescent="0.3">
      <c r="C45" s="3" t="s">
        <v>26</v>
      </c>
      <c r="D45" s="22">
        <f>VLOOKUP($E$36&amp;"-"&amp;C45,'Tabela de apoio'!D11:G31,4,FALSE)</f>
        <v>0.1</v>
      </c>
      <c r="E45" s="6">
        <f t="shared" si="2"/>
        <v>3000</v>
      </c>
    </row>
    <row r="46" spans="3:5" x14ac:dyDescent="0.3">
      <c r="C46" s="3" t="s">
        <v>27</v>
      </c>
      <c r="D46" s="22">
        <f>VLOOKUP($E$36&amp;"-"&amp;C46,'Tabela de apoio'!D12:G32,4,FALSE)</f>
        <v>0</v>
      </c>
      <c r="E46" s="6">
        <f t="shared" si="2"/>
        <v>0</v>
      </c>
    </row>
    <row r="47" spans="3:5" x14ac:dyDescent="0.3">
      <c r="C47" s="3" t="s">
        <v>28</v>
      </c>
      <c r="D47" s="22">
        <f>VLOOKUP($E$36&amp;"-"&amp;C47,'Tabela de apoio'!D13:G33,4,FALSE)</f>
        <v>0</v>
      </c>
      <c r="E47" s="6">
        <f t="shared" si="2"/>
        <v>0</v>
      </c>
    </row>
    <row r="48" spans="3:5" ht="15" thickBot="1" x14ac:dyDescent="0.35">
      <c r="C48" s="23" t="s">
        <v>29</v>
      </c>
      <c r="D48" s="24"/>
      <c r="E48" s="25">
        <f>SUM(E42:E47)</f>
        <v>30000</v>
      </c>
    </row>
  </sheetData>
  <mergeCells count="9">
    <mergeCell ref="C36:D36"/>
    <mergeCell ref="C12:E12"/>
    <mergeCell ref="C18:E18"/>
    <mergeCell ref="D19:E19"/>
    <mergeCell ref="D20:E20"/>
    <mergeCell ref="D21:E21"/>
    <mergeCell ref="C27:D27"/>
    <mergeCell ref="D22:E22"/>
    <mergeCell ref="D23:E23"/>
  </mergeCells>
  <dataValidations count="1">
    <dataValidation type="list" allowBlank="1" showInputMessage="1" showErrorMessage="1" sqref="E36" xr:uid="{B508D387-4D59-4894-8D22-F404B83C399F}">
      <formula1>"Agressivo,Moderado,Conservador"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F138-3977-4C76-A0EF-4571EF606CC8}">
  <dimension ref="D7:G28"/>
  <sheetViews>
    <sheetView workbookViewId="0">
      <selection activeCell="B11" sqref="B11"/>
    </sheetView>
  </sheetViews>
  <sheetFormatPr defaultRowHeight="14.4" x14ac:dyDescent="0.3"/>
  <cols>
    <col min="1" max="1" width="30.5546875" customWidth="1"/>
    <col min="2" max="2" width="11.33203125" bestFit="1" customWidth="1"/>
    <col min="3" max="3" width="18" bestFit="1" customWidth="1"/>
    <col min="4" max="4" width="42.88671875" bestFit="1" customWidth="1"/>
    <col min="5" max="5" width="16.5546875" bestFit="1" customWidth="1"/>
    <col min="6" max="6" width="26.33203125" bestFit="1" customWidth="1"/>
    <col min="7" max="7" width="6.44140625" bestFit="1" customWidth="1"/>
    <col min="8" max="8" width="29.21875" bestFit="1" customWidth="1"/>
    <col min="9" max="9" width="11.33203125" bestFit="1" customWidth="1"/>
    <col min="10" max="10" width="18" bestFit="1" customWidth="1"/>
    <col min="11" max="11" width="4.44140625" bestFit="1" customWidth="1"/>
  </cols>
  <sheetData>
    <row r="7" spans="4:7" ht="15" thickBot="1" x14ac:dyDescent="0.35"/>
    <row r="8" spans="4:7" ht="21" x14ac:dyDescent="0.3">
      <c r="D8" s="38" t="s">
        <v>32</v>
      </c>
      <c r="E8" s="39" t="s">
        <v>30</v>
      </c>
      <c r="F8" s="40" t="s">
        <v>22</v>
      </c>
      <c r="G8" s="41" t="s">
        <v>31</v>
      </c>
    </row>
    <row r="9" spans="4:7" ht="21" x14ac:dyDescent="0.3">
      <c r="D9" s="30" t="str">
        <f>E9&amp;"-"&amp;F9</f>
        <v>Conservador-PAPEL</v>
      </c>
      <c r="E9" s="31" t="s">
        <v>20</v>
      </c>
      <c r="F9" s="32" t="s">
        <v>23</v>
      </c>
      <c r="G9" s="33">
        <v>0.3</v>
      </c>
    </row>
    <row r="10" spans="4:7" ht="21" x14ac:dyDescent="0.3">
      <c r="D10" s="30" t="str">
        <f t="shared" ref="D10:D28" si="0">E10&amp;"-"&amp;F10</f>
        <v>Conservador-TIJOLO</v>
      </c>
      <c r="E10" s="31" t="s">
        <v>20</v>
      </c>
      <c r="F10" s="32" t="s">
        <v>24</v>
      </c>
      <c r="G10" s="33">
        <v>0.5</v>
      </c>
    </row>
    <row r="11" spans="4:7" ht="21" x14ac:dyDescent="0.3">
      <c r="D11" s="30" t="str">
        <f t="shared" si="0"/>
        <v>Conservador-HIBRIDOS</v>
      </c>
      <c r="E11" s="31" t="s">
        <v>20</v>
      </c>
      <c r="F11" s="32" t="s">
        <v>25</v>
      </c>
      <c r="G11" s="33">
        <v>0.1</v>
      </c>
    </row>
    <row r="12" spans="4:7" ht="21" x14ac:dyDescent="0.3">
      <c r="D12" s="30" t="str">
        <f t="shared" si="0"/>
        <v>Conservador-FOFs</v>
      </c>
      <c r="E12" s="31" t="s">
        <v>20</v>
      </c>
      <c r="F12" s="32" t="s">
        <v>26</v>
      </c>
      <c r="G12" s="33">
        <v>0.1</v>
      </c>
    </row>
    <row r="13" spans="4:7" ht="21" x14ac:dyDescent="0.3">
      <c r="D13" s="30" t="str">
        <f t="shared" si="0"/>
        <v>Conservador-DESENVOLVIMENTO</v>
      </c>
      <c r="E13" s="31" t="s">
        <v>20</v>
      </c>
      <c r="F13" s="32" t="s">
        <v>27</v>
      </c>
      <c r="G13" s="33">
        <v>0</v>
      </c>
    </row>
    <row r="14" spans="4:7" ht="21" x14ac:dyDescent="0.3">
      <c r="D14" s="30" t="str">
        <f t="shared" si="0"/>
        <v>Conservador-HOTELARIA</v>
      </c>
      <c r="E14" s="31" t="s">
        <v>20</v>
      </c>
      <c r="F14" s="32" t="s">
        <v>28</v>
      </c>
      <c r="G14" s="33">
        <v>0</v>
      </c>
    </row>
    <row r="15" spans="4:7" ht="21" x14ac:dyDescent="0.3">
      <c r="D15" s="42"/>
      <c r="E15" s="43"/>
      <c r="F15" s="43"/>
      <c r="G15" s="44"/>
    </row>
    <row r="16" spans="4:7" ht="21" x14ac:dyDescent="0.3">
      <c r="D16" s="30" t="str">
        <f t="shared" si="0"/>
        <v>Moderado-PAPEL</v>
      </c>
      <c r="E16" s="31" t="s">
        <v>19</v>
      </c>
      <c r="F16" s="32" t="s">
        <v>23</v>
      </c>
      <c r="G16" s="33">
        <v>0.32</v>
      </c>
    </row>
    <row r="17" spans="4:7" ht="21" x14ac:dyDescent="0.3">
      <c r="D17" s="30" t="str">
        <f t="shared" si="0"/>
        <v>Moderado-TIJOLO</v>
      </c>
      <c r="E17" s="31" t="s">
        <v>19</v>
      </c>
      <c r="F17" s="32" t="s">
        <v>24</v>
      </c>
      <c r="G17" s="33">
        <v>0.35</v>
      </c>
    </row>
    <row r="18" spans="4:7" ht="21" x14ac:dyDescent="0.3">
      <c r="D18" s="30" t="str">
        <f t="shared" si="0"/>
        <v>Moderado-HIBRIDOS</v>
      </c>
      <c r="E18" s="31" t="s">
        <v>19</v>
      </c>
      <c r="F18" s="32" t="s">
        <v>25</v>
      </c>
      <c r="G18" s="33">
        <v>0.08</v>
      </c>
    </row>
    <row r="19" spans="4:7" ht="21" x14ac:dyDescent="0.3">
      <c r="D19" s="30" t="str">
        <f t="shared" si="0"/>
        <v>Moderado-FOFs</v>
      </c>
      <c r="E19" s="31" t="s">
        <v>19</v>
      </c>
      <c r="F19" s="32" t="s">
        <v>26</v>
      </c>
      <c r="G19" s="33">
        <v>0.05</v>
      </c>
    </row>
    <row r="20" spans="4:7" ht="21" x14ac:dyDescent="0.3">
      <c r="D20" s="30" t="str">
        <f t="shared" si="0"/>
        <v>Moderado-DESENVOLVIMENTO</v>
      </c>
      <c r="E20" s="31" t="s">
        <v>19</v>
      </c>
      <c r="F20" s="32" t="s">
        <v>27</v>
      </c>
      <c r="G20" s="33">
        <v>0.1</v>
      </c>
    </row>
    <row r="21" spans="4:7" ht="21" x14ac:dyDescent="0.3">
      <c r="D21" s="30" t="str">
        <f t="shared" si="0"/>
        <v>Moderado-HOTELARIA</v>
      </c>
      <c r="E21" s="31" t="s">
        <v>19</v>
      </c>
      <c r="F21" s="32" t="s">
        <v>28</v>
      </c>
      <c r="G21" s="33">
        <v>0.1</v>
      </c>
    </row>
    <row r="22" spans="4:7" ht="21" x14ac:dyDescent="0.3">
      <c r="D22" s="42"/>
      <c r="E22" s="43"/>
      <c r="F22" s="43"/>
      <c r="G22" s="44"/>
    </row>
    <row r="23" spans="4:7" ht="21" x14ac:dyDescent="0.3">
      <c r="D23" s="30" t="str">
        <f t="shared" si="0"/>
        <v>Agressivo-PAPEL</v>
      </c>
      <c r="E23" s="31" t="s">
        <v>18</v>
      </c>
      <c r="F23" s="32" t="s">
        <v>23</v>
      </c>
      <c r="G23" s="33">
        <v>0.5</v>
      </c>
    </row>
    <row r="24" spans="4:7" ht="21" x14ac:dyDescent="0.3">
      <c r="D24" s="30" t="str">
        <f t="shared" si="0"/>
        <v>Agressivo-TIJOLO</v>
      </c>
      <c r="E24" s="31" t="s">
        <v>18</v>
      </c>
      <c r="F24" s="32" t="s">
        <v>24</v>
      </c>
      <c r="G24" s="33">
        <v>0.1</v>
      </c>
    </row>
    <row r="25" spans="4:7" ht="21" x14ac:dyDescent="0.3">
      <c r="D25" s="30" t="str">
        <f t="shared" si="0"/>
        <v>Agressivo-HIBRIDOS</v>
      </c>
      <c r="E25" s="31" t="s">
        <v>18</v>
      </c>
      <c r="F25" s="32" t="s">
        <v>25</v>
      </c>
      <c r="G25" s="33">
        <v>0.05</v>
      </c>
    </row>
    <row r="26" spans="4:7" ht="21" x14ac:dyDescent="0.3">
      <c r="D26" s="30" t="str">
        <f t="shared" si="0"/>
        <v>Agressivo-FOFs</v>
      </c>
      <c r="E26" s="31" t="s">
        <v>18</v>
      </c>
      <c r="F26" s="32" t="s">
        <v>26</v>
      </c>
      <c r="G26" s="33">
        <v>0.05</v>
      </c>
    </row>
    <row r="27" spans="4:7" ht="21" x14ac:dyDescent="0.3">
      <c r="D27" s="30" t="str">
        <f t="shared" si="0"/>
        <v>Agressivo-DESENVOLVIMENTO</v>
      </c>
      <c r="E27" s="31" t="s">
        <v>18</v>
      </c>
      <c r="F27" s="32" t="s">
        <v>27</v>
      </c>
      <c r="G27" s="33">
        <v>0.2</v>
      </c>
    </row>
    <row r="28" spans="4:7" ht="21.6" thickBot="1" x14ac:dyDescent="0.35">
      <c r="D28" s="34" t="str">
        <f t="shared" si="0"/>
        <v>Agressivo-HOTELARIA</v>
      </c>
      <c r="E28" s="35" t="s">
        <v>18</v>
      </c>
      <c r="F28" s="36" t="s">
        <v>28</v>
      </c>
      <c r="G28" s="37">
        <v>0.1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Simulador_invest</vt:lpstr>
      <vt:lpstr>Tabela de apoio</vt:lpstr>
      <vt:lpstr>Aporte</vt:lpstr>
      <vt:lpstr>Patrimônio</vt:lpstr>
      <vt:lpstr>Qtd_Anos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Pereira uduwanage</dc:creator>
  <cp:lastModifiedBy>Charles Pereira uduwanage</cp:lastModifiedBy>
  <dcterms:created xsi:type="dcterms:W3CDTF">2026-08-26T13:23:00Z</dcterms:created>
  <dcterms:modified xsi:type="dcterms:W3CDTF">2026-08-27T18:42:26Z</dcterms:modified>
</cp:coreProperties>
</file>